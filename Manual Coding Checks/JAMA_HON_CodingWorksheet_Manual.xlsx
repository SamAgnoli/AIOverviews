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no\Documents\AIO Manual Coding\"/>
    </mc:Choice>
  </mc:AlternateContent>
  <xr:revisionPtr revIDLastSave="0" documentId="13_ncr:1_{DA30A683-10D0-4400-AF12-6D18E2630FDF}" xr6:coauthVersionLast="47" xr6:coauthVersionMax="47" xr10:uidLastSave="{00000000-0000-0000-0000-000000000000}"/>
  <bookViews>
    <workbookView xWindow="-28920" yWindow="3015" windowWidth="29040" windowHeight="15720" activeTab="1" xr2:uid="{36EE77D7-6D49-4121-B207-17BA79BCA4C6}"/>
  </bookViews>
  <sheets>
    <sheet name="Coding Worksheet _Human" sheetId="1" r:id="rId1"/>
    <sheet name="Coding Worksheet _C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2" i="1"/>
  <c r="H4" i="1"/>
  <c r="H3" i="1"/>
  <c r="H5" i="1"/>
  <c r="H6" i="1"/>
  <c r="H7" i="1"/>
  <c r="H8" i="1"/>
  <c r="H9" i="1"/>
  <c r="H10" i="1"/>
  <c r="H11" i="1"/>
  <c r="H12" i="1"/>
  <c r="H13" i="1"/>
  <c r="H14" i="1"/>
  <c r="H15" i="1"/>
</calcChain>
</file>

<file path=xl/sharedStrings.xml><?xml version="1.0" encoding="utf-8"?>
<sst xmlns="http://schemas.openxmlformats.org/spreadsheetml/2006/main" count="176" uniqueCount="48">
  <si>
    <t>JAMA_Authorship</t>
  </si>
  <si>
    <t>JAMA_Attribution</t>
  </si>
  <si>
    <t>JAMA_Disclosure</t>
  </si>
  <si>
    <t>JAMA_Currency</t>
  </si>
  <si>
    <t>JAMA_Total</t>
  </si>
  <si>
    <t>HON_Authority</t>
  </si>
  <si>
    <t>HON_Complementarity</t>
  </si>
  <si>
    <t>HON_Total</t>
  </si>
  <si>
    <t>url</t>
  </si>
  <si>
    <t>https://blog.bonsecours.com/heart/gas-pain-vs-heart-problem/</t>
  </si>
  <si>
    <t>https://ubiehealth.com/doctors-note/chest-tightness-food-airway-constriction-science5753q3</t>
  </si>
  <si>
    <t>https://my.clevelandclinic.org/health/symptoms/22935-chest-pressure</t>
  </si>
  <si>
    <t>https://eer24.com/understanding-chest-pain-after-eating-in-adults</t>
  </si>
  <si>
    <t>https://my.clevelandclinic.org/health/symptoms/21209-chest-pain</t>
  </si>
  <si>
    <t>https://my.clevelandclinic.org/health/symptoms/earache-ear-pain</t>
  </si>
  <si>
    <t>https://www.healthdirect.gov.au/earache</t>
  </si>
  <si>
    <t>https://www.gohce.com/blog/ear-pain-urgent-care-when-to-stop-waiting-and-come-in</t>
  </si>
  <si>
    <t>https://www.gohce.com/blog/ear-pain-urgent-care-when-to-stop-waiting-and-come-in/</t>
  </si>
  <si>
    <t>https://expercarehealth.com/urgent-care-for-ear-infection/</t>
  </si>
  <si>
    <t>https://www.pickenscare.com/?post=clinic-for-ear-infection-care</t>
  </si>
  <si>
    <t>https://gosouthstar.com/health-blog/ear-aches-and-infections-know-when-to-go-to-urgent-care/</t>
  </si>
  <si>
    <t>https://healthfirstuc.com/urgent-care-for-ear-infection-when-to-go/</t>
  </si>
  <si>
    <t>https://www.pickenscare.com/?post=can-urgent-care-treat-ear-infections</t>
  </si>
  <si>
    <t>https://www.massgeneralbrigham.org/en/health-wellness/ear-infection-urgent-care</t>
  </si>
  <si>
    <t>https://www.afcurgentcare.com/boston/patient-services/ear-infection-treatment/</t>
  </si>
  <si>
    <t>https://www.google.com/searchviewer/10?svid=CAwSHRIbCgNwdnESFENnMHZaeTh4TVdSbWRETTRObXQ1GAo</t>
  </si>
  <si>
    <t>https://www.massgeneralbrigham.org/en/search/locations</t>
  </si>
  <si>
    <t>https://www.google.com/searchviewer/10?svid=CAwSHRIbCgNwdnESFENnMHZaeTh4TVdKMmRuazRjVEUwGAo</t>
  </si>
  <si>
    <t>https://www.gohealthuc.com/library/earache-remedies</t>
  </si>
  <si>
    <t>https://www.indigohealth.com/blog/when-to-get-treatment-for-an-ear-infection/</t>
  </si>
  <si>
    <t>https://www.emergencyphysicians.org/article/know-when-to-go/earaches-and-ear-infections</t>
  </si>
  <si>
    <t>https://www.healthpartners.com/blog/urgent-care-for-ear-infection/</t>
  </si>
  <si>
    <t>https://gastrohealthpartners.com/stomach-pain-after-eating-here-are-7-things-it-could-be/</t>
  </si>
  <si>
    <t>https://www.healthline.com/health/stomachache-after-eating</t>
  </si>
  <si>
    <t>https://cincinnati-gi.com/stomach-pain-after-eating-when-you-should-see-a-doctor/</t>
  </si>
  <si>
    <t>https://www.summithealth.com/health-wellness/why-does-my-stomach-hurt-after-i-eat-common-causes-and-when-see-doctor</t>
  </si>
  <si>
    <t>https://www.gastroconsa.com/why-does-my-stomach-hurt-after-i-eat-gi-answers/</t>
  </si>
  <si>
    <t>https://www.verywellhealth.com/postprandial-p2-1945064</t>
  </si>
  <si>
    <t>https://centreforgastrointestinalhealth.com.au/resources/abdominal-pain-after-eating/</t>
  </si>
  <si>
    <t>question</t>
  </si>
  <si>
    <t>Coder</t>
  </si>
  <si>
    <t/>
  </si>
  <si>
    <t/>
  </si>
  <si>
    <t/>
  </si>
  <si>
    <t xml:space="preserve">https://www.medicalnewstoday.com/articles/321650 </t>
  </si>
  <si>
    <t>Coder3</t>
  </si>
  <si>
    <t>Coder1</t>
  </si>
  <si>
    <t>Coder2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</si>
</sst>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althdirect.gov.au/earache" TargetMode="External"/><Relationship Id="rId13" Type="http://schemas.openxmlformats.org/officeDocument/2006/relationships/hyperlink" Target="https://gosouthstar.com/health-blog/ear-aches-and-infections-know-when-to-go-to-urgent-care/" TargetMode="External"/><Relationship Id="rId3" Type="http://schemas.openxmlformats.org/officeDocument/2006/relationships/hyperlink" Target="https://ubiehealth.com/doctors-note/chest-tightness-food-airway-constriction-science5753q3" TargetMode="External"/><Relationship Id="rId7" Type="http://schemas.openxmlformats.org/officeDocument/2006/relationships/hyperlink" Target="https://my.clevelandclinic.org/health/symptoms/earache-ear-pain" TargetMode="External"/><Relationship Id="rId12" Type="http://schemas.openxmlformats.org/officeDocument/2006/relationships/hyperlink" Target="https://www.pickenscare.com/?post=clinic-for-ear-infection-care" TargetMode="External"/><Relationship Id="rId2" Type="http://schemas.openxmlformats.org/officeDocument/2006/relationships/hyperlink" Target="https://blog.bonsecours.com/heart/gas-pain-vs-heart-problem/" TargetMode="External"/><Relationship Id="rId1" Type="http://schemas.openxmlformats.org/officeDocument/2006/relationships/hyperlink" Target="https://www.medicalnewstoday.com/articles/321650" TargetMode="External"/><Relationship Id="rId6" Type="http://schemas.openxmlformats.org/officeDocument/2006/relationships/hyperlink" Target="https://my.clevelandclinic.org/health/symptoms/21209-chest-pain" TargetMode="External"/><Relationship Id="rId11" Type="http://schemas.openxmlformats.org/officeDocument/2006/relationships/hyperlink" Target="https://expercarehealth.com/urgent-care-for-ear-infection/" TargetMode="External"/><Relationship Id="rId5" Type="http://schemas.openxmlformats.org/officeDocument/2006/relationships/hyperlink" Target="https://eer24.com/understanding-chest-pain-after-eating-in-adults" TargetMode="External"/><Relationship Id="rId15" Type="http://schemas.openxmlformats.org/officeDocument/2006/relationships/hyperlink" Target="https://centreforgastrointestinalhealth.com.au/resources/abdominal-pain-after-eating/" TargetMode="External"/><Relationship Id="rId10" Type="http://schemas.openxmlformats.org/officeDocument/2006/relationships/hyperlink" Target="https://www.gohce.com/blog/ear-pain-urgent-care-when-to-stop-waiting-and-come-in/" TargetMode="External"/><Relationship Id="rId4" Type="http://schemas.openxmlformats.org/officeDocument/2006/relationships/hyperlink" Target="https://my.clevelandclinic.org/health/symptoms/22935-chest-pressure" TargetMode="External"/><Relationship Id="rId9" Type="http://schemas.openxmlformats.org/officeDocument/2006/relationships/hyperlink" Target="https://www.gohce.com/blog/ear-pain-urgent-care-when-to-stop-waiting-and-come-in" TargetMode="External"/><Relationship Id="rId14" Type="http://schemas.openxmlformats.org/officeDocument/2006/relationships/hyperlink" Target="https://healthfirstuc.com/urgent-care-for-ear-infection-when-to-go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althdirect.gov.au/earache" TargetMode="External"/><Relationship Id="rId13" Type="http://schemas.openxmlformats.org/officeDocument/2006/relationships/hyperlink" Target="https://gosouthstar.com/health-blog/ear-aches-and-infections-know-when-to-go-to-urgent-care/" TargetMode="External"/><Relationship Id="rId18" Type="http://schemas.openxmlformats.org/officeDocument/2006/relationships/hyperlink" Target="https://centreforgastrointestinalhealth.com.au/resources/abdominal-pain-after-eating/" TargetMode="External"/><Relationship Id="rId3" Type="http://schemas.openxmlformats.org/officeDocument/2006/relationships/hyperlink" Target="https://ubiehealth.com/doctors-note/chest-tightness-food-airway-constriction-science5753q3" TargetMode="External"/><Relationship Id="rId7" Type="http://schemas.openxmlformats.org/officeDocument/2006/relationships/hyperlink" Target="https://my.clevelandclinic.org/health/symptoms/earache-ear-pain" TargetMode="External"/><Relationship Id="rId12" Type="http://schemas.openxmlformats.org/officeDocument/2006/relationships/hyperlink" Target="https://www.pickenscare.com/?post=clinic-for-ear-infection-care" TargetMode="External"/><Relationship Id="rId17" Type="http://schemas.openxmlformats.org/officeDocument/2006/relationships/hyperlink" Target="https://www.verywellhealth.com/postprandial-p2-1945064" TargetMode="External"/><Relationship Id="rId2" Type="http://schemas.openxmlformats.org/officeDocument/2006/relationships/hyperlink" Target="https://blog.bonsecours.com/heart/gas-pain-vs-heart-problem/" TargetMode="External"/><Relationship Id="rId16" Type="http://schemas.openxmlformats.org/officeDocument/2006/relationships/hyperlink" Target="https://www.gastroconsa.com/why-does-my-stomach-hurt-after-i-eat-gi-answers/" TargetMode="External"/><Relationship Id="rId1" Type="http://schemas.openxmlformats.org/officeDocument/2006/relationships/hyperlink" Target="https://www.medicalnewstoday.com/articles/321650" TargetMode="External"/><Relationship Id="rId6" Type="http://schemas.openxmlformats.org/officeDocument/2006/relationships/hyperlink" Target="https://my.clevelandclinic.org/health/symptoms/21209-chest-pain" TargetMode="External"/><Relationship Id="rId11" Type="http://schemas.openxmlformats.org/officeDocument/2006/relationships/hyperlink" Target="https://expercarehealth.com/urgent-care-for-ear-infection/" TargetMode="External"/><Relationship Id="rId5" Type="http://schemas.openxmlformats.org/officeDocument/2006/relationships/hyperlink" Target="https://eer24.com/understanding-chest-pain-after-eating-in-adults" TargetMode="External"/><Relationship Id="rId15" Type="http://schemas.openxmlformats.org/officeDocument/2006/relationships/hyperlink" Target="https://www.summithealth.com/health-wellness/why-does-my-stomach-hurt-after-i-eat-common-causes-and-when-see-doctor" TargetMode="External"/><Relationship Id="rId10" Type="http://schemas.openxmlformats.org/officeDocument/2006/relationships/hyperlink" Target="https://www.gohce.com/blog/ear-pain-urgent-care-when-to-stop-waiting-and-come-in/" TargetMode="External"/><Relationship Id="rId4" Type="http://schemas.openxmlformats.org/officeDocument/2006/relationships/hyperlink" Target="https://my.clevelandclinic.org/health/symptoms/22935-chest-pressure" TargetMode="External"/><Relationship Id="rId9" Type="http://schemas.openxmlformats.org/officeDocument/2006/relationships/hyperlink" Target="https://www.gohce.com/blog/ear-pain-urgent-care-when-to-stop-waiting-and-come-in" TargetMode="External"/><Relationship Id="rId14" Type="http://schemas.openxmlformats.org/officeDocument/2006/relationships/hyperlink" Target="https://healthfirstuc.com/urgent-care-for-ear-infection-when-to-g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998D-374F-4F40-A6C0-D207E7B4B0DF}">
  <dimension ref="A1:K32"/>
  <sheetViews>
    <sheetView workbookViewId="0">
      <selection activeCell="K2" sqref="K2:K32"/>
    </sheetView>
  </sheetViews>
  <sheetFormatPr defaultColWidth="8.85546875" defaultRowHeight="15" x14ac:dyDescent="0.25"/>
  <cols>
    <col min="2" max="2" width="9.140625"/>
    <col min="3" max="3" width="133.28515625" bestFit="1" customWidth="1"/>
  </cols>
  <sheetData>
    <row r="1" spans="1:11" x14ac:dyDescent="0.25">
      <c r="A1" t="s">
        <v>40</v>
      </c>
      <c r="B1" s="1" t="s">
        <v>39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5">
      <c r="A2" t="s">
        <v>46</v>
      </c>
      <c r="B2" t="s">
        <v>41</v>
      </c>
      <c r="C2" s="2" t="s">
        <v>44</v>
      </c>
      <c r="D2">
        <v>1</v>
      </c>
      <c r="E2">
        <v>0</v>
      </c>
      <c r="F2">
        <v>1</v>
      </c>
      <c r="G2">
        <v>1</v>
      </c>
      <c r="H2">
        <f>SUM(D2:G2)</f>
        <v>3</v>
      </c>
      <c r="I2">
        <v>1</v>
      </c>
      <c r="J2">
        <v>1</v>
      </c>
      <c r="K2">
        <f>'Coding Worksheet _Human'!I2+'Coding Worksheet _Human'!J2</f>
        <v>2</v>
      </c>
    </row>
    <row r="3" spans="1:11" x14ac:dyDescent="0.25">
      <c r="A3" t="s">
        <v>46</v>
      </c>
      <c r="B3" t="s">
        <v>41</v>
      </c>
      <c r="C3" s="2" t="s">
        <v>9</v>
      </c>
      <c r="D3">
        <v>0</v>
      </c>
      <c r="E3">
        <v>0</v>
      </c>
      <c r="F3">
        <v>0</v>
      </c>
      <c r="G3">
        <v>1</v>
      </c>
      <c r="H3">
        <f>D3+E2+F3+G3</f>
        <v>1</v>
      </c>
      <c r="I3">
        <v>0</v>
      </c>
      <c r="J3">
        <v>1</v>
      </c>
      <c r="K3">
        <f>'Coding Worksheet _Human'!I3+'Coding Worksheet _Human'!J3</f>
        <v>1</v>
      </c>
    </row>
    <row r="4" spans="1:11" x14ac:dyDescent="0.25">
      <c r="A4" t="s">
        <v>46</v>
      </c>
      <c r="B4" t="s">
        <v>41</v>
      </c>
      <c r="C4" s="2" t="s">
        <v>10</v>
      </c>
      <c r="D4">
        <v>1</v>
      </c>
      <c r="E4">
        <v>1</v>
      </c>
      <c r="F4">
        <v>0</v>
      </c>
      <c r="G4">
        <v>1</v>
      </c>
      <c r="H4">
        <f t="shared" ref="H4:H15" si="0">D4+E4+F4+G4</f>
        <v>3</v>
      </c>
      <c r="I4">
        <v>1</v>
      </c>
      <c r="J4">
        <v>1</v>
      </c>
      <c r="K4">
        <f>'Coding Worksheet _Human'!I4+'Coding Worksheet _Human'!J4</f>
        <v>2</v>
      </c>
    </row>
    <row r="5" spans="1:11" x14ac:dyDescent="0.25">
      <c r="A5" t="s">
        <v>46</v>
      </c>
      <c r="B5" t="s">
        <v>41</v>
      </c>
      <c r="C5" s="2" t="s">
        <v>11</v>
      </c>
      <c r="D5">
        <v>0</v>
      </c>
      <c r="E5">
        <v>1</v>
      </c>
      <c r="F5">
        <v>1</v>
      </c>
      <c r="G5">
        <v>1</v>
      </c>
      <c r="H5">
        <f t="shared" si="0"/>
        <v>3</v>
      </c>
      <c r="I5">
        <v>0</v>
      </c>
      <c r="J5">
        <v>1</v>
      </c>
      <c r="K5">
        <f>'Coding Worksheet _Human'!I5+'Coding Worksheet _Human'!J5</f>
        <v>1</v>
      </c>
    </row>
    <row r="6" spans="1:11" x14ac:dyDescent="0.25">
      <c r="A6" t="s">
        <v>46</v>
      </c>
      <c r="B6" t="s">
        <v>41</v>
      </c>
      <c r="C6" s="2" t="s">
        <v>12</v>
      </c>
      <c r="D6">
        <v>0</v>
      </c>
      <c r="E6">
        <v>0</v>
      </c>
      <c r="F6">
        <v>0</v>
      </c>
      <c r="G6">
        <v>1</v>
      </c>
      <c r="H6">
        <f t="shared" si="0"/>
        <v>1</v>
      </c>
      <c r="I6">
        <v>0</v>
      </c>
      <c r="J6">
        <v>1</v>
      </c>
      <c r="K6">
        <f>'Coding Worksheet _Human'!I6+'Coding Worksheet _Human'!J6</f>
        <v>1</v>
      </c>
    </row>
    <row r="7" spans="1:11" x14ac:dyDescent="0.25">
      <c r="A7" t="s">
        <v>46</v>
      </c>
      <c r="B7" t="s">
        <v>41</v>
      </c>
      <c r="C7" s="2" t="s">
        <v>13</v>
      </c>
      <c r="D7">
        <v>0</v>
      </c>
      <c r="E7">
        <v>1</v>
      </c>
      <c r="F7">
        <v>1</v>
      </c>
      <c r="G7">
        <v>1</v>
      </c>
      <c r="H7">
        <f t="shared" si="0"/>
        <v>3</v>
      </c>
      <c r="I7">
        <v>0</v>
      </c>
      <c r="J7">
        <v>1</v>
      </c>
      <c r="K7">
        <f>'Coding Worksheet _Human'!I7+'Coding Worksheet _Human'!J7</f>
        <v>1</v>
      </c>
    </row>
    <row r="8" spans="1:11" x14ac:dyDescent="0.25">
      <c r="A8" t="s">
        <v>46</v>
      </c>
      <c r="B8" t="s">
        <v>42</v>
      </c>
      <c r="C8" s="2" t="s">
        <v>14</v>
      </c>
      <c r="D8">
        <v>0</v>
      </c>
      <c r="E8">
        <v>1</v>
      </c>
      <c r="F8">
        <v>1</v>
      </c>
      <c r="G8">
        <v>1</v>
      </c>
      <c r="H8">
        <f t="shared" si="0"/>
        <v>3</v>
      </c>
      <c r="I8">
        <v>0</v>
      </c>
      <c r="J8">
        <v>1</v>
      </c>
      <c r="K8">
        <f>'Coding Worksheet _Human'!I8+'Coding Worksheet _Human'!J8</f>
        <v>1</v>
      </c>
    </row>
    <row r="9" spans="1:11" x14ac:dyDescent="0.25">
      <c r="A9" t="s">
        <v>46</v>
      </c>
      <c r="B9" t="s">
        <v>42</v>
      </c>
      <c r="C9" s="2" t="s">
        <v>15</v>
      </c>
      <c r="D9">
        <v>0</v>
      </c>
      <c r="E9">
        <v>1</v>
      </c>
      <c r="F9">
        <v>0</v>
      </c>
      <c r="G9">
        <v>0</v>
      </c>
      <c r="H9">
        <f t="shared" si="0"/>
        <v>1</v>
      </c>
      <c r="I9">
        <v>0</v>
      </c>
      <c r="J9">
        <v>1</v>
      </c>
      <c r="K9">
        <f>'Coding Worksheet _Human'!I9+'Coding Worksheet _Human'!J9</f>
        <v>1</v>
      </c>
    </row>
    <row r="10" spans="1:11" x14ac:dyDescent="0.25">
      <c r="A10" t="s">
        <v>46</v>
      </c>
      <c r="B10" t="s">
        <v>42</v>
      </c>
      <c r="C10" s="2" t="s">
        <v>16</v>
      </c>
      <c r="D10">
        <v>0</v>
      </c>
      <c r="E10">
        <v>0</v>
      </c>
      <c r="F10">
        <v>0</v>
      </c>
      <c r="G10">
        <v>1</v>
      </c>
      <c r="H10">
        <f t="shared" si="0"/>
        <v>1</v>
      </c>
      <c r="I10">
        <v>0</v>
      </c>
      <c r="J10">
        <v>1</v>
      </c>
      <c r="K10">
        <f>'Coding Worksheet _Human'!I10+'Coding Worksheet _Human'!J10</f>
        <v>1</v>
      </c>
    </row>
    <row r="11" spans="1:11" x14ac:dyDescent="0.25">
      <c r="A11" t="s">
        <v>46</v>
      </c>
      <c r="B11" t="s">
        <v>42</v>
      </c>
      <c r="C11" s="2" t="s">
        <v>17</v>
      </c>
      <c r="D11">
        <v>0</v>
      </c>
      <c r="E11">
        <v>0</v>
      </c>
      <c r="F11">
        <v>0</v>
      </c>
      <c r="G11">
        <v>1</v>
      </c>
      <c r="H11">
        <f t="shared" si="0"/>
        <v>1</v>
      </c>
      <c r="I11">
        <v>0</v>
      </c>
      <c r="J11">
        <v>1</v>
      </c>
      <c r="K11">
        <f>'Coding Worksheet _Human'!I11+'Coding Worksheet _Human'!J11</f>
        <v>1</v>
      </c>
    </row>
    <row r="12" spans="1:11" x14ac:dyDescent="0.25">
      <c r="A12" t="s">
        <v>46</v>
      </c>
      <c r="B12" t="s">
        <v>42</v>
      </c>
      <c r="C12" s="2" t="s">
        <v>18</v>
      </c>
      <c r="D12">
        <v>1</v>
      </c>
      <c r="E12">
        <v>0</v>
      </c>
      <c r="F12">
        <v>0</v>
      </c>
      <c r="G12">
        <v>1</v>
      </c>
      <c r="H12">
        <f t="shared" si="0"/>
        <v>2</v>
      </c>
      <c r="I12">
        <v>1</v>
      </c>
      <c r="J12">
        <v>1</v>
      </c>
      <c r="K12">
        <f>'Coding Worksheet _Human'!I12+'Coding Worksheet _Human'!J12</f>
        <v>2</v>
      </c>
    </row>
    <row r="13" spans="1:11" x14ac:dyDescent="0.25">
      <c r="A13" t="s">
        <v>46</v>
      </c>
      <c r="B13" t="s">
        <v>42</v>
      </c>
      <c r="C13" s="2" t="s">
        <v>19</v>
      </c>
      <c r="D13">
        <v>0</v>
      </c>
      <c r="E13">
        <v>0</v>
      </c>
      <c r="F13">
        <v>0</v>
      </c>
      <c r="G13">
        <v>1</v>
      </c>
      <c r="H13">
        <f t="shared" si="0"/>
        <v>1</v>
      </c>
      <c r="I13">
        <v>0</v>
      </c>
      <c r="J13">
        <v>1</v>
      </c>
      <c r="K13">
        <f>'Coding Worksheet _Human'!I13+'Coding Worksheet _Human'!J13</f>
        <v>1</v>
      </c>
    </row>
    <row r="14" spans="1:11" x14ac:dyDescent="0.25">
      <c r="A14" t="s">
        <v>46</v>
      </c>
      <c r="B14" t="s">
        <v>42</v>
      </c>
      <c r="C14" s="2" t="s">
        <v>20</v>
      </c>
      <c r="D14">
        <v>1</v>
      </c>
      <c r="E14">
        <v>0</v>
      </c>
      <c r="F14">
        <v>0</v>
      </c>
      <c r="G14">
        <v>0</v>
      </c>
      <c r="H14">
        <f t="shared" si="0"/>
        <v>1</v>
      </c>
      <c r="I14">
        <v>1</v>
      </c>
      <c r="J14">
        <v>1</v>
      </c>
      <c r="K14">
        <f>'Coding Worksheet _Human'!I14+'Coding Worksheet _Human'!J14</f>
        <v>2</v>
      </c>
    </row>
    <row r="15" spans="1:11" x14ac:dyDescent="0.25">
      <c r="A15" t="s">
        <v>46</v>
      </c>
      <c r="B15" t="s">
        <v>42</v>
      </c>
      <c r="C15" s="2" t="s">
        <v>21</v>
      </c>
      <c r="D15">
        <v>0</v>
      </c>
      <c r="E15">
        <v>0</v>
      </c>
      <c r="F15">
        <v>0</v>
      </c>
      <c r="G15">
        <v>0</v>
      </c>
      <c r="H15">
        <f t="shared" si="0"/>
        <v>0</v>
      </c>
      <c r="I15">
        <v>0</v>
      </c>
      <c r="J15">
        <v>1</v>
      </c>
      <c r="K15">
        <f>'Coding Worksheet _Human'!I15+'Coding Worksheet _Human'!J15</f>
        <v>1</v>
      </c>
    </row>
    <row r="16" spans="1:11" x14ac:dyDescent="0.25">
      <c r="A16" t="s">
        <v>47</v>
      </c>
      <c r="B16" t="s">
        <v>42</v>
      </c>
      <c r="C16" t="s">
        <v>22</v>
      </c>
      <c r="D16">
        <v>1</v>
      </c>
      <c r="E16">
        <v>1</v>
      </c>
      <c r="F16">
        <v>0</v>
      </c>
      <c r="G16">
        <v>0</v>
      </c>
      <c r="H16">
        <f t="shared" ref="H16:H28" si="1">D16+E16+F16+G16</f>
        <v>2</v>
      </c>
      <c r="I16">
        <v>1</v>
      </c>
      <c r="J16">
        <v>1</v>
      </c>
      <c r="K16">
        <f>'Coding Worksheet _Human'!I16+'Coding Worksheet _Human'!J16</f>
        <v>2</v>
      </c>
    </row>
    <row r="17" spans="1:11" x14ac:dyDescent="0.25">
      <c r="A17" t="s">
        <v>47</v>
      </c>
      <c r="B17" t="s">
        <v>42</v>
      </c>
      <c r="C17" t="s">
        <v>23</v>
      </c>
      <c r="D17">
        <v>1</v>
      </c>
      <c r="E17">
        <v>1</v>
      </c>
      <c r="F17">
        <v>1</v>
      </c>
      <c r="G17">
        <v>1</v>
      </c>
      <c r="H17">
        <f t="shared" si="1"/>
        <v>4</v>
      </c>
      <c r="I17">
        <v>1</v>
      </c>
      <c r="J17">
        <v>1</v>
      </c>
      <c r="K17">
        <f>'Coding Worksheet _Human'!I17+'Coding Worksheet _Human'!J17</f>
        <v>2</v>
      </c>
    </row>
    <row r="18" spans="1:11" x14ac:dyDescent="0.25">
      <c r="A18" t="s">
        <v>47</v>
      </c>
      <c r="B18" t="s">
        <v>42</v>
      </c>
      <c r="C18" t="s">
        <v>24</v>
      </c>
      <c r="D18">
        <v>0</v>
      </c>
      <c r="E18">
        <v>1</v>
      </c>
      <c r="F18">
        <v>1</v>
      </c>
      <c r="G18">
        <v>0</v>
      </c>
      <c r="H18">
        <f t="shared" si="1"/>
        <v>2</v>
      </c>
      <c r="I18">
        <v>1</v>
      </c>
      <c r="J18">
        <v>1</v>
      </c>
      <c r="K18">
        <f>'Coding Worksheet _Human'!I18+'Coding Worksheet _Human'!J18</f>
        <v>2</v>
      </c>
    </row>
    <row r="19" spans="1:11" x14ac:dyDescent="0.25">
      <c r="A19" t="s">
        <v>47</v>
      </c>
      <c r="B19" t="s">
        <v>42</v>
      </c>
      <c r="C19" t="s">
        <v>25</v>
      </c>
      <c r="D19">
        <v>0</v>
      </c>
      <c r="E19">
        <v>0</v>
      </c>
      <c r="F19">
        <v>0</v>
      </c>
      <c r="G19">
        <v>0</v>
      </c>
      <c r="H19">
        <f t="shared" si="1"/>
        <v>0</v>
      </c>
      <c r="I19">
        <v>0</v>
      </c>
      <c r="J19">
        <v>0</v>
      </c>
      <c r="K19">
        <f>'Coding Worksheet _Human'!I19+'Coding Worksheet _Human'!J19</f>
        <v>0</v>
      </c>
    </row>
    <row r="20" spans="1:11" x14ac:dyDescent="0.25">
      <c r="A20" t="s">
        <v>47</v>
      </c>
      <c r="B20" t="s">
        <v>42</v>
      </c>
      <c r="C20" t="s">
        <v>26</v>
      </c>
      <c r="D20">
        <v>1</v>
      </c>
      <c r="E20">
        <v>0</v>
      </c>
      <c r="F20">
        <v>0</v>
      </c>
      <c r="G20">
        <v>0</v>
      </c>
      <c r="H20">
        <f t="shared" si="1"/>
        <v>1</v>
      </c>
      <c r="I20">
        <v>1</v>
      </c>
      <c r="J20">
        <v>0</v>
      </c>
      <c r="K20">
        <f>'Coding Worksheet _Human'!I20+'Coding Worksheet _Human'!J20</f>
        <v>1</v>
      </c>
    </row>
    <row r="21" spans="1:11" x14ac:dyDescent="0.25">
      <c r="A21" t="s">
        <v>47</v>
      </c>
      <c r="B21" t="s">
        <v>42</v>
      </c>
      <c r="C21" t="s">
        <v>27</v>
      </c>
      <c r="D21">
        <v>0</v>
      </c>
      <c r="E21">
        <v>0</v>
      </c>
      <c r="F21">
        <v>0</v>
      </c>
      <c r="G21">
        <v>0</v>
      </c>
      <c r="H21">
        <f t="shared" si="1"/>
        <v>0</v>
      </c>
      <c r="I21">
        <v>0</v>
      </c>
      <c r="J21">
        <v>0</v>
      </c>
      <c r="K21">
        <f>'Coding Worksheet _Human'!I21+'Coding Worksheet _Human'!J21</f>
        <v>0</v>
      </c>
    </row>
    <row r="22" spans="1:11" x14ac:dyDescent="0.25">
      <c r="A22" t="s">
        <v>47</v>
      </c>
      <c r="B22" t="s">
        <v>42</v>
      </c>
      <c r="C22" t="s">
        <v>28</v>
      </c>
      <c r="D22">
        <v>1</v>
      </c>
      <c r="E22">
        <v>1</v>
      </c>
      <c r="F22">
        <v>0</v>
      </c>
      <c r="G22">
        <v>0</v>
      </c>
      <c r="H22">
        <f t="shared" si="1"/>
        <v>2</v>
      </c>
      <c r="I22">
        <v>1</v>
      </c>
      <c r="J22">
        <v>1</v>
      </c>
      <c r="K22">
        <f>'Coding Worksheet _Human'!I22+'Coding Worksheet _Human'!J22</f>
        <v>2</v>
      </c>
    </row>
    <row r="23" spans="1:11" x14ac:dyDescent="0.25">
      <c r="A23" t="s">
        <v>47</v>
      </c>
      <c r="B23" t="s">
        <v>42</v>
      </c>
      <c r="C23" t="s">
        <v>29</v>
      </c>
      <c r="D23">
        <v>0</v>
      </c>
      <c r="E23">
        <v>0</v>
      </c>
      <c r="F23">
        <v>0</v>
      </c>
      <c r="G23">
        <v>1</v>
      </c>
      <c r="H23">
        <f t="shared" si="1"/>
        <v>1</v>
      </c>
      <c r="I23">
        <v>0</v>
      </c>
      <c r="J23">
        <v>1</v>
      </c>
      <c r="K23">
        <f>'Coding Worksheet _Human'!I23+'Coding Worksheet _Human'!J23</f>
        <v>1</v>
      </c>
    </row>
    <row r="24" spans="1:11" x14ac:dyDescent="0.25">
      <c r="A24" t="s">
        <v>47</v>
      </c>
      <c r="B24" t="s">
        <v>42</v>
      </c>
      <c r="C24" t="s">
        <v>30</v>
      </c>
      <c r="D24">
        <v>0</v>
      </c>
      <c r="E24">
        <v>0</v>
      </c>
      <c r="F24">
        <v>0</v>
      </c>
      <c r="G24">
        <v>0</v>
      </c>
      <c r="H24">
        <f t="shared" si="1"/>
        <v>0</v>
      </c>
      <c r="I24">
        <v>0</v>
      </c>
      <c r="J24">
        <v>1</v>
      </c>
      <c r="K24">
        <f>'Coding Worksheet _Human'!I24+'Coding Worksheet _Human'!J24</f>
        <v>1</v>
      </c>
    </row>
    <row r="25" spans="1:11" x14ac:dyDescent="0.25">
      <c r="A25" t="s">
        <v>47</v>
      </c>
      <c r="B25" t="s">
        <v>42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f t="shared" si="1"/>
        <v>0</v>
      </c>
      <c r="I25">
        <v>0</v>
      </c>
      <c r="J25">
        <v>1</v>
      </c>
      <c r="K25">
        <f>'Coding Worksheet _Human'!I25+'Coding Worksheet _Human'!J25</f>
        <v>1</v>
      </c>
    </row>
    <row r="26" spans="1:11" x14ac:dyDescent="0.25">
      <c r="A26" t="s">
        <v>47</v>
      </c>
      <c r="B26" t="s">
        <v>43</v>
      </c>
      <c r="C26" t="s">
        <v>32</v>
      </c>
      <c r="D26">
        <v>0</v>
      </c>
      <c r="E26">
        <v>1</v>
      </c>
      <c r="F26">
        <v>0</v>
      </c>
      <c r="G26">
        <v>0</v>
      </c>
      <c r="H26">
        <f t="shared" si="1"/>
        <v>1</v>
      </c>
      <c r="I26">
        <v>0</v>
      </c>
      <c r="J26">
        <v>1</v>
      </c>
      <c r="K26">
        <f>'Coding Worksheet _Human'!I26+'Coding Worksheet _Human'!J26</f>
        <v>1</v>
      </c>
    </row>
    <row r="27" spans="1:11" x14ac:dyDescent="0.25">
      <c r="A27" t="s">
        <v>47</v>
      </c>
      <c r="B27" t="s">
        <v>43</v>
      </c>
      <c r="C27" t="s">
        <v>33</v>
      </c>
      <c r="D27">
        <v>1</v>
      </c>
      <c r="E27">
        <v>1</v>
      </c>
      <c r="F27">
        <v>0</v>
      </c>
      <c r="G27">
        <v>1</v>
      </c>
      <c r="H27">
        <f t="shared" si="1"/>
        <v>3</v>
      </c>
      <c r="I27">
        <v>1</v>
      </c>
      <c r="J27">
        <v>1</v>
      </c>
      <c r="K27">
        <f>'Coding Worksheet _Human'!I27+'Coding Worksheet _Human'!J27</f>
        <v>2</v>
      </c>
    </row>
    <row r="28" spans="1:11" x14ac:dyDescent="0.25">
      <c r="A28" t="s">
        <v>47</v>
      </c>
      <c r="B28" t="s">
        <v>43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f t="shared" si="1"/>
        <v>0</v>
      </c>
      <c r="I28">
        <v>0</v>
      </c>
      <c r="J28">
        <v>0</v>
      </c>
      <c r="K28">
        <f>'Coding Worksheet _Human'!I28+'Coding Worksheet _Human'!J28</f>
        <v>0</v>
      </c>
    </row>
    <row r="29" spans="1:11" x14ac:dyDescent="0.25">
      <c r="A29" t="s">
        <v>45</v>
      </c>
      <c r="B29" t="s">
        <v>43</v>
      </c>
      <c r="C29" t="s">
        <v>35</v>
      </c>
      <c r="D29">
        <v>0</v>
      </c>
      <c r="E29">
        <v>0</v>
      </c>
      <c r="F29">
        <v>0</v>
      </c>
      <c r="G29">
        <v>1</v>
      </c>
      <c r="H29">
        <f t="shared" ref="H29:H32" si="2">D29+E29+F29+G29</f>
        <v>1</v>
      </c>
      <c r="I29">
        <v>0</v>
      </c>
      <c r="J29">
        <v>1</v>
      </c>
      <c r="K29">
        <f>'Coding Worksheet _Human'!I29+'Coding Worksheet _Human'!J29</f>
        <v>1</v>
      </c>
    </row>
    <row r="30" spans="1:11" x14ac:dyDescent="0.25">
      <c r="A30" t="s">
        <v>45</v>
      </c>
      <c r="B30" t="s">
        <v>43</v>
      </c>
      <c r="C30" t="s">
        <v>36</v>
      </c>
      <c r="D30">
        <v>0</v>
      </c>
      <c r="E30">
        <v>0</v>
      </c>
      <c r="F30">
        <v>0</v>
      </c>
      <c r="G30">
        <v>1</v>
      </c>
      <c r="H30">
        <f t="shared" si="2"/>
        <v>1</v>
      </c>
      <c r="I30">
        <v>0</v>
      </c>
      <c r="J30">
        <v>1</v>
      </c>
      <c r="K30">
        <f>'Coding Worksheet _Human'!I30+'Coding Worksheet _Human'!J30</f>
        <v>1</v>
      </c>
    </row>
    <row r="31" spans="1:11" x14ac:dyDescent="0.25">
      <c r="A31" t="s">
        <v>45</v>
      </c>
      <c r="B31" t="s">
        <v>43</v>
      </c>
      <c r="C31" t="s">
        <v>37</v>
      </c>
      <c r="D31">
        <v>1</v>
      </c>
      <c r="E31">
        <v>1</v>
      </c>
      <c r="F31">
        <v>0</v>
      </c>
      <c r="G31">
        <v>1</v>
      </c>
      <c r="H31">
        <f t="shared" si="2"/>
        <v>3</v>
      </c>
      <c r="I31">
        <v>1</v>
      </c>
      <c r="J31">
        <v>1</v>
      </c>
      <c r="K31">
        <f>'Coding Worksheet _Human'!I31+'Coding Worksheet _Human'!J31</f>
        <v>2</v>
      </c>
    </row>
    <row r="32" spans="1:11" x14ac:dyDescent="0.25">
      <c r="A32" t="s">
        <v>45</v>
      </c>
      <c r="B32" t="s">
        <v>43</v>
      </c>
      <c r="C32" s="2" t="s">
        <v>38</v>
      </c>
      <c r="D32">
        <v>0</v>
      </c>
      <c r="E32">
        <v>0</v>
      </c>
      <c r="F32">
        <v>0</v>
      </c>
      <c r="G32">
        <v>0</v>
      </c>
      <c r="H32">
        <f t="shared" si="2"/>
        <v>0</v>
      </c>
      <c r="I32">
        <v>0</v>
      </c>
      <c r="J32">
        <v>0</v>
      </c>
      <c r="K32">
        <f>'Coding Worksheet _Human'!I32+'Coding Worksheet _Human'!J32</f>
        <v>0</v>
      </c>
    </row>
  </sheetData>
  <phoneticPr fontId="3" type="noConversion"/>
  <hyperlinks>
    <hyperlink ref="C2" r:id="rId1" xr:uid="{2314D22E-AF20-5946-A65A-FD2D7CCA207C}"/>
    <hyperlink ref="C3" r:id="rId2" xr:uid="{D9456B4C-A76E-CB48-B97D-4C99389EF1C2}"/>
    <hyperlink ref="C4" r:id="rId3" xr:uid="{84EBBC44-6B98-E54D-9E67-58E70AAD1847}"/>
    <hyperlink ref="C5" r:id="rId4" xr:uid="{9BC32832-31B0-5E4B-AC8B-C5A18419D8B1}"/>
    <hyperlink ref="C6" r:id="rId5" xr:uid="{806DBFBA-0765-2746-B86A-9C663DAC3428}"/>
    <hyperlink ref="C7" r:id="rId6" xr:uid="{9BD10CD3-FA91-1B48-9C14-218863F465BC}"/>
    <hyperlink ref="C8" r:id="rId7" xr:uid="{7A7E105A-D61A-BE41-8712-22B682A03B88}"/>
    <hyperlink ref="C9" r:id="rId8" xr:uid="{3955E1D7-0CE9-AF4F-8551-5B32E1C0CE52}"/>
    <hyperlink ref="C10" r:id="rId9" xr:uid="{205BD42A-040A-A648-952E-7204DDF65319}"/>
    <hyperlink ref="C11" r:id="rId10" xr:uid="{ADDDE509-7922-8940-9D7E-9D451C5D835C}"/>
    <hyperlink ref="C12" r:id="rId11" xr:uid="{0C6161C4-F209-B549-9711-41321B455D76}"/>
    <hyperlink ref="C13" r:id="rId12" xr:uid="{CB3069AB-E2BC-9E4C-BEB3-84B0F53E2729}"/>
    <hyperlink ref="C14" r:id="rId13" xr:uid="{EC607362-94FB-3D4A-AFF0-39A2F8BFF4CE}"/>
    <hyperlink ref="C15" r:id="rId14" xr:uid="{91E5C618-AA4F-264C-9EF1-CD84816BE807}"/>
    <hyperlink ref="C32" r:id="rId15" xr:uid="{47F1169E-1928-46FF-A89A-231D270FBD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BF83-884C-4CE1-B35F-3821C7C5F2EA}">
  <dimension ref="B1:K32"/>
  <sheetViews>
    <sheetView tabSelected="1" workbookViewId="0">
      <selection activeCell="K2" sqref="K2"/>
    </sheetView>
  </sheetViews>
  <sheetFormatPr defaultRowHeight="15" x14ac:dyDescent="0.25"/>
  <cols>
    <col min="3" max="3" width="133.28515625" bestFit="1" customWidth="1"/>
  </cols>
  <sheetData>
    <row r="1" spans="2:11" x14ac:dyDescent="0.25">
      <c r="B1" s="1" t="s">
        <v>39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2:11" x14ac:dyDescent="0.25">
      <c r="B2" t="s">
        <v>41</v>
      </c>
      <c r="C2" s="2" t="s">
        <v>44</v>
      </c>
      <c r="D2">
        <v>1</v>
      </c>
      <c r="E2">
        <v>1</v>
      </c>
      <c r="F2">
        <v>0</v>
      </c>
      <c r="G2">
        <v>1</v>
      </c>
      <c r="H2">
        <v>3</v>
      </c>
      <c r="I2">
        <v>0</v>
      </c>
      <c r="J2">
        <v>0</v>
      </c>
      <c r="K2">
        <f>I2+J2</f>
        <v>0</v>
      </c>
    </row>
    <row r="3" spans="2:11" x14ac:dyDescent="0.25">
      <c r="B3" t="s">
        <v>41</v>
      </c>
      <c r="C3" s="2" t="s">
        <v>9</v>
      </c>
      <c r="D3">
        <v>1</v>
      </c>
      <c r="E3">
        <v>1</v>
      </c>
      <c r="F3">
        <v>0</v>
      </c>
      <c r="G3">
        <v>1</v>
      </c>
      <c r="H3">
        <v>3</v>
      </c>
      <c r="I3">
        <v>0</v>
      </c>
      <c r="J3">
        <v>0</v>
      </c>
      <c r="K3">
        <f t="shared" ref="K3:K32" si="0">I3+J3</f>
        <v>0</v>
      </c>
    </row>
    <row r="4" spans="2:11" x14ac:dyDescent="0.25">
      <c r="B4" t="s">
        <v>41</v>
      </c>
      <c r="C4" s="2" t="s">
        <v>10</v>
      </c>
      <c r="D4">
        <v>1</v>
      </c>
      <c r="E4">
        <v>1</v>
      </c>
      <c r="F4">
        <v>0</v>
      </c>
      <c r="G4">
        <v>1</v>
      </c>
      <c r="H4">
        <v>3</v>
      </c>
      <c r="I4">
        <v>0</v>
      </c>
      <c r="J4">
        <v>1</v>
      </c>
      <c r="K4">
        <f t="shared" si="0"/>
        <v>1</v>
      </c>
    </row>
    <row r="5" spans="2:11" x14ac:dyDescent="0.25">
      <c r="B5" t="s">
        <v>41</v>
      </c>
      <c r="C5" s="2" t="s">
        <v>11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f t="shared" si="0"/>
        <v>1</v>
      </c>
    </row>
    <row r="6" spans="2:11" x14ac:dyDescent="0.25">
      <c r="B6" t="s">
        <v>41</v>
      </c>
      <c r="C6" s="2" t="s">
        <v>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2:11" x14ac:dyDescent="0.25">
      <c r="B7" t="s">
        <v>41</v>
      </c>
      <c r="C7" s="2" t="s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f t="shared" si="0"/>
        <v>1</v>
      </c>
    </row>
    <row r="8" spans="2:11" x14ac:dyDescent="0.25">
      <c r="B8" t="s">
        <v>42</v>
      </c>
      <c r="C8" s="2" t="s">
        <v>14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f t="shared" si="0"/>
        <v>1</v>
      </c>
    </row>
    <row r="9" spans="2:11" x14ac:dyDescent="0.25">
      <c r="B9" t="s">
        <v>42</v>
      </c>
      <c r="C9" s="2" t="s">
        <v>15</v>
      </c>
      <c r="D9">
        <v>0</v>
      </c>
      <c r="E9">
        <v>1</v>
      </c>
      <c r="F9">
        <v>1</v>
      </c>
      <c r="G9">
        <v>1</v>
      </c>
      <c r="H9">
        <v>3</v>
      </c>
      <c r="I9">
        <v>1</v>
      </c>
      <c r="J9">
        <v>0</v>
      </c>
      <c r="K9">
        <f t="shared" si="0"/>
        <v>1</v>
      </c>
    </row>
    <row r="10" spans="2:11" x14ac:dyDescent="0.25">
      <c r="B10" t="s">
        <v>42</v>
      </c>
      <c r="C10" s="2" t="s">
        <v>16</v>
      </c>
      <c r="D10">
        <v>0</v>
      </c>
      <c r="E10">
        <v>1</v>
      </c>
      <c r="F10">
        <v>0</v>
      </c>
      <c r="G10">
        <v>1</v>
      </c>
      <c r="H10">
        <v>2</v>
      </c>
      <c r="I10">
        <v>0</v>
      </c>
      <c r="J10">
        <v>0</v>
      </c>
      <c r="K10">
        <f t="shared" si="0"/>
        <v>0</v>
      </c>
    </row>
    <row r="11" spans="2:11" x14ac:dyDescent="0.25">
      <c r="B11" t="s">
        <v>42</v>
      </c>
      <c r="C11" s="2" t="s">
        <v>17</v>
      </c>
      <c r="D11">
        <v>0</v>
      </c>
      <c r="E11">
        <v>1</v>
      </c>
      <c r="F11">
        <v>0</v>
      </c>
      <c r="G11">
        <v>1</v>
      </c>
      <c r="H11">
        <v>2</v>
      </c>
      <c r="I11">
        <v>0</v>
      </c>
      <c r="J11">
        <v>0</v>
      </c>
      <c r="K11">
        <f t="shared" si="0"/>
        <v>0</v>
      </c>
    </row>
    <row r="12" spans="2:11" x14ac:dyDescent="0.25">
      <c r="B12" t="s">
        <v>42</v>
      </c>
      <c r="C12" s="2" t="s">
        <v>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 t="shared" si="0"/>
        <v>0</v>
      </c>
    </row>
    <row r="13" spans="2:11" x14ac:dyDescent="0.25">
      <c r="B13" t="s">
        <v>42</v>
      </c>
      <c r="C13" s="2" t="s">
        <v>19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f t="shared" si="0"/>
        <v>0</v>
      </c>
    </row>
    <row r="14" spans="2:11" x14ac:dyDescent="0.25">
      <c r="B14" t="s">
        <v>42</v>
      </c>
      <c r="C14" s="2" t="s">
        <v>20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0"/>
        <v>0</v>
      </c>
    </row>
    <row r="15" spans="2:11" x14ac:dyDescent="0.25">
      <c r="B15" t="s">
        <v>42</v>
      </c>
      <c r="C15" s="2" t="s">
        <v>21</v>
      </c>
      <c r="D15">
        <v>1</v>
      </c>
      <c r="E15">
        <v>1</v>
      </c>
      <c r="F15">
        <v>0</v>
      </c>
      <c r="G15">
        <v>1</v>
      </c>
      <c r="H15">
        <v>3</v>
      </c>
      <c r="I15">
        <v>0</v>
      </c>
      <c r="J15">
        <v>0</v>
      </c>
      <c r="K15">
        <f t="shared" si="0"/>
        <v>0</v>
      </c>
    </row>
    <row r="16" spans="2:11" x14ac:dyDescent="0.25">
      <c r="B16" t="s">
        <v>42</v>
      </c>
      <c r="C16" t="s">
        <v>22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f t="shared" si="0"/>
        <v>0</v>
      </c>
    </row>
    <row r="17" spans="2:11" x14ac:dyDescent="0.25">
      <c r="B17" t="s">
        <v>42</v>
      </c>
      <c r="C17" t="s">
        <v>23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 t="shared" si="0"/>
        <v>0</v>
      </c>
    </row>
    <row r="18" spans="2:11" x14ac:dyDescent="0.25">
      <c r="B18" t="s">
        <v>42</v>
      </c>
      <c r="C18" t="s">
        <v>24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f t="shared" si="0"/>
        <v>0</v>
      </c>
    </row>
    <row r="19" spans="2:11" x14ac:dyDescent="0.25">
      <c r="B19" t="s">
        <v>42</v>
      </c>
      <c r="C19" t="s">
        <v>25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0"/>
        <v>0</v>
      </c>
    </row>
    <row r="20" spans="2:11" x14ac:dyDescent="0.25">
      <c r="B20" t="s">
        <v>42</v>
      </c>
      <c r="C20" t="s">
        <v>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0"/>
        <v>0</v>
      </c>
    </row>
    <row r="21" spans="2:11" x14ac:dyDescent="0.25">
      <c r="B21" t="s">
        <v>42</v>
      </c>
      <c r="C21" t="s">
        <v>27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0"/>
        <v>0</v>
      </c>
    </row>
    <row r="22" spans="2:11" x14ac:dyDescent="0.25">
      <c r="B22" t="s">
        <v>42</v>
      </c>
      <c r="C22" t="s">
        <v>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 t="shared" si="0"/>
        <v>0</v>
      </c>
    </row>
    <row r="23" spans="2:11" x14ac:dyDescent="0.25">
      <c r="B23" t="s">
        <v>42</v>
      </c>
      <c r="C23" t="s">
        <v>29</v>
      </c>
      <c r="D23">
        <v>0</v>
      </c>
      <c r="E23">
        <v>1</v>
      </c>
      <c r="F23">
        <v>0</v>
      </c>
      <c r="G23">
        <v>1</v>
      </c>
      <c r="H23">
        <v>2</v>
      </c>
      <c r="I23">
        <v>0</v>
      </c>
      <c r="J23">
        <v>0</v>
      </c>
      <c r="K23">
        <f t="shared" si="0"/>
        <v>0</v>
      </c>
    </row>
    <row r="24" spans="2:11" x14ac:dyDescent="0.25">
      <c r="B24" t="s">
        <v>42</v>
      </c>
      <c r="C24" t="s">
        <v>30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 t="shared" si="0"/>
        <v>0</v>
      </c>
    </row>
    <row r="25" spans="2:11" x14ac:dyDescent="0.25">
      <c r="B25" t="s">
        <v>42</v>
      </c>
      <c r="C25" t="s">
        <v>31</v>
      </c>
      <c r="D25">
        <v>1</v>
      </c>
      <c r="E25">
        <v>0</v>
      </c>
      <c r="F25">
        <v>0</v>
      </c>
      <c r="G25">
        <v>1</v>
      </c>
      <c r="H25">
        <v>2</v>
      </c>
      <c r="I25">
        <v>0</v>
      </c>
      <c r="J25">
        <v>0</v>
      </c>
      <c r="K25">
        <f t="shared" si="0"/>
        <v>0</v>
      </c>
    </row>
    <row r="26" spans="2:11" x14ac:dyDescent="0.25">
      <c r="B26" t="s">
        <v>43</v>
      </c>
      <c r="C26" t="s">
        <v>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 t="shared" si="0"/>
        <v>0</v>
      </c>
    </row>
    <row r="27" spans="2:11" x14ac:dyDescent="0.25">
      <c r="B27" t="s">
        <v>43</v>
      </c>
      <c r="C27" t="s">
        <v>33</v>
      </c>
      <c r="D27">
        <v>1</v>
      </c>
      <c r="E27">
        <v>1</v>
      </c>
      <c r="F27">
        <v>0</v>
      </c>
      <c r="G27">
        <v>1</v>
      </c>
      <c r="H27">
        <v>3</v>
      </c>
      <c r="I27">
        <v>0</v>
      </c>
      <c r="J27">
        <v>0</v>
      </c>
      <c r="K27">
        <f t="shared" si="0"/>
        <v>0</v>
      </c>
    </row>
    <row r="28" spans="2:11" x14ac:dyDescent="0.25">
      <c r="B28" t="s">
        <v>43</v>
      </c>
      <c r="C28" t="s">
        <v>34</v>
      </c>
      <c r="D28">
        <v>1</v>
      </c>
      <c r="E28">
        <v>1</v>
      </c>
      <c r="F28">
        <v>1</v>
      </c>
      <c r="G28">
        <v>1</v>
      </c>
      <c r="H28">
        <v>4</v>
      </c>
      <c r="I28">
        <v>0</v>
      </c>
      <c r="J28">
        <v>0</v>
      </c>
      <c r="K28">
        <f t="shared" si="0"/>
        <v>0</v>
      </c>
    </row>
    <row r="29" spans="2:11" x14ac:dyDescent="0.25">
      <c r="B29" t="s">
        <v>43</v>
      </c>
      <c r="C29" s="2" t="s">
        <v>35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f t="shared" si="0"/>
        <v>0</v>
      </c>
    </row>
    <row r="30" spans="2:11" x14ac:dyDescent="0.25">
      <c r="B30" t="s">
        <v>43</v>
      </c>
      <c r="C30" s="2" t="s">
        <v>36</v>
      </c>
      <c r="D30">
        <v>1</v>
      </c>
      <c r="E30">
        <v>0</v>
      </c>
      <c r="F30">
        <v>0</v>
      </c>
      <c r="G30">
        <v>1</v>
      </c>
      <c r="H30">
        <v>2</v>
      </c>
      <c r="I30">
        <v>0</v>
      </c>
      <c r="J30">
        <v>0</v>
      </c>
      <c r="K30">
        <f t="shared" si="0"/>
        <v>0</v>
      </c>
    </row>
    <row r="31" spans="2:11" x14ac:dyDescent="0.25">
      <c r="B31" t="s">
        <v>43</v>
      </c>
      <c r="C31" s="2" t="s">
        <v>37</v>
      </c>
      <c r="D31">
        <v>1</v>
      </c>
      <c r="E31">
        <v>1</v>
      </c>
      <c r="F31">
        <v>0</v>
      </c>
      <c r="G31">
        <v>1</v>
      </c>
      <c r="H31">
        <v>3</v>
      </c>
      <c r="I31">
        <v>1</v>
      </c>
      <c r="J31">
        <v>0</v>
      </c>
      <c r="K31">
        <f t="shared" si="0"/>
        <v>1</v>
      </c>
    </row>
    <row r="32" spans="2:11" x14ac:dyDescent="0.25">
      <c r="B32" t="s">
        <v>43</v>
      </c>
      <c r="C32" s="2" t="s">
        <v>38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f t="shared" si="0"/>
        <v>0</v>
      </c>
    </row>
  </sheetData>
  <hyperlinks>
    <hyperlink ref="C2" r:id="rId1" xr:uid="{63651F6F-0A89-4E87-BFD5-9A22D170CEF3}"/>
    <hyperlink ref="C3" r:id="rId2" xr:uid="{691AAFC6-832F-4F47-A29F-B188497FAFF9}"/>
    <hyperlink ref="C4" r:id="rId3" xr:uid="{17FF42EE-564E-4CE2-A04E-0E4E33546409}"/>
    <hyperlink ref="C5" r:id="rId4" xr:uid="{B18A940D-F907-4B9C-8620-B8D50251B527}"/>
    <hyperlink ref="C6" r:id="rId5" xr:uid="{F07F0BC1-6B05-4F97-AABF-17339BF8B190}"/>
    <hyperlink ref="C7" r:id="rId6" xr:uid="{375241A3-2601-4295-AB7A-0F84942FDBD5}"/>
    <hyperlink ref="C8" r:id="rId7" xr:uid="{CF4CE39F-F14C-41D0-8918-049D7FBC4059}"/>
    <hyperlink ref="C9" r:id="rId8" xr:uid="{DEEC8D5C-7F32-45AB-80A0-E36813A84232}"/>
    <hyperlink ref="C10" r:id="rId9" xr:uid="{6D6A3E1E-81C4-439A-966F-E09512C6B98C}"/>
    <hyperlink ref="C11" r:id="rId10" xr:uid="{159E630F-4ED4-46D9-A977-62AE981677C7}"/>
    <hyperlink ref="C12" r:id="rId11" xr:uid="{92724992-5327-4135-A7E0-D8702C25DDE2}"/>
    <hyperlink ref="C13" r:id="rId12" xr:uid="{53147B50-439F-4310-B6FB-44D92EDF3CB5}"/>
    <hyperlink ref="C14" r:id="rId13" xr:uid="{8DDE0D52-748A-4E76-8AF8-E5DB8021E0FB}"/>
    <hyperlink ref="C15" r:id="rId14" xr:uid="{2B6658E4-89FD-4C7C-9BE3-FA185E9DB0A9}"/>
    <hyperlink ref="C29" r:id="rId15" xr:uid="{7884E88E-6124-400F-8C4B-A8392C0005F8}"/>
    <hyperlink ref="C30" r:id="rId16" xr:uid="{3A0E30B9-C802-47C0-8081-275CE021B6C3}"/>
    <hyperlink ref="C31" r:id="rId17" xr:uid="{C514351E-BB10-4DF5-8503-AE48AB3096F6}"/>
    <hyperlink ref="C32" r:id="rId18" xr:uid="{733748BB-BBB7-4E65-BD63-2E06E44E74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 Worksheet _Human</vt:lpstr>
      <vt:lpstr>Coding Worksheet 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Agnoli</dc:creator>
  <cp:lastModifiedBy>Sam Agnoli</cp:lastModifiedBy>
  <dcterms:created xsi:type="dcterms:W3CDTF">2026-09-02T15:58:07Z</dcterms:created>
  <dcterms:modified xsi:type="dcterms:W3CDTF">2026-10-23T16:34:31Z</dcterms:modified>
</cp:coreProperties>
</file>